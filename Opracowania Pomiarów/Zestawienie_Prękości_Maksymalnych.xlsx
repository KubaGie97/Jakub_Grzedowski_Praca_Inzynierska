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<sst xmlns="http://schemas.openxmlformats.org/spreadsheetml/2006/main" count="11" uniqueCount="11">
  <si>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 [V]</t>
  </si>
  <si>
    <t>Wartość Średnia [RPM]</t>
  </si>
  <si>
    <t>Odchylenie Średnie [RPM]</t>
  </si>
  <si>
    <t>Odchylenie Standardowe [RPM]</t>
  </si>
  <si>
    <t>Minimum [RPM]</t>
  </si>
  <si>
    <t>Maksimum [RPM]</t>
  </si>
  <si>
    <t>Teoretyczny Współczynnik Przekładni</t>
  </si>
  <si>
    <t>Teoretyczna prędkość Modułu Nakładania [RPM]</t>
  </si>
  <si>
    <t>Pomiar Tachometrem [RPM]</t>
  </si>
  <si>
    <t>Delta Wartości Teoretycznej i Rzeczywistej [RPM]</t>
  </si>
  <si>
    <t>Rzeczywisty Współczynnik Przekładni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</si>
</sst>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_ "/>
    <numFmt numFmtId="181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4">
    <xf numFmtId="26" fontId="0" fillId="0" borderId="0" xfId="0">
      <alignment vertical="center"/>
    </xf>
    <xf numFmtId="26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Wartość Prędkości Maksymalnej w Funkcji Napięcia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9403076239658"/>
          <c:y val="0.0697997051937917"/>
          <c:w val="0.908734521628075"/>
          <c:h val="0.815520679788433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Wartość Średnia [RPM]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Arkusz1!$A$2:$A$5</c:f>
              <c:numCache>
                <c:formatCode>General</c:formatCode>
                <c:ptCount val="4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</c:numCache>
            </c:numRef>
          </c:xVal>
          <c:yVal>
            <c:numRef>
              <c:f>Arkusz1!$B$2:$B$5</c:f>
              <c:numCache>
                <c:formatCode>0.00_ </c:formatCode>
                <c:ptCount val="4"/>
                <c:pt idx="0">
                  <c:v>5381.41212871287</c:v>
                </c:pt>
                <c:pt idx="1">
                  <c:v>4257.91768339768</c:v>
                </c:pt>
                <c:pt idx="2">
                  <c:v>3227.17860349127</c:v>
                </c:pt>
                <c:pt idx="3">
                  <c:v>2126.44341523342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Arkusz1!$H$1</c:f>
              <c:strCache>
                <c:ptCount val="1"/>
                <c:pt idx="0">
                  <c:v>Teoretyczna prędkość Modułu Nakładania [RPM]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Arkusz1!$A$2:$A$5</c:f>
              <c:numCache>
                <c:formatCode>General</c:formatCode>
                <c:ptCount val="4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</c:numCache>
            </c:numRef>
          </c:xVal>
          <c:yVal>
            <c:numRef>
              <c:f>Arkusz1!$H$2:$H$5</c:f>
              <c:numCache>
                <c:formatCode>0.00_ </c:formatCode>
                <c:ptCount val="4"/>
                <c:pt idx="0">
                  <c:v>11193.3372277228</c:v>
                </c:pt>
                <c:pt idx="1">
                  <c:v>8856.46878146717</c:v>
                </c:pt>
                <c:pt idx="2">
                  <c:v>6712.53149526184</c:v>
                </c:pt>
                <c:pt idx="3">
                  <c:v>4423.00230368551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Arkusz1!$I$1</c:f>
              <c:strCache>
                <c:ptCount val="1"/>
                <c:pt idx="0">
                  <c:v>Pomiar Tachometrem [RPM]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Arkusz1!$A$2:$A$5</c:f>
              <c:numCache>
                <c:formatCode>General</c:formatCode>
                <c:ptCount val="4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</c:numCache>
            </c:numRef>
          </c:xVal>
          <c:yVal>
            <c:numRef>
              <c:f>Arkusz1!$I$2:$I$5</c:f>
              <c:numCache>
                <c:formatCode>0.0_ </c:formatCode>
                <c:ptCount val="4"/>
                <c:pt idx="0">
                  <c:v>11075</c:v>
                </c:pt>
                <c:pt idx="1">
                  <c:v>8724</c:v>
                </c:pt>
                <c:pt idx="2">
                  <c:v>6567.5</c:v>
                </c:pt>
                <c:pt idx="3" c:formatCode="General">
                  <c:v>4284.4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507623"/>
        <c:axId val="911494680"/>
      </c:scatterChart>
      <c:valAx>
        <c:axId val="737507623"/>
        <c:scaling>
          <c:orientation val="minMax"/>
          <c:max val="32"/>
          <c:min val="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 [V]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494680"/>
        <c:crosses val="autoZero"/>
        <c:crossBetween val="midCat"/>
        <c:majorUnit val="2"/>
        <c:minorUnit val="1"/>
      </c:valAx>
      <c:valAx>
        <c:axId val="91149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50762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ec81cd-2506-470d-827f-42bc999207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695325</xdr:colOff>
      <xdr:row>7</xdr:row>
      <xdr:rowOff>136525</xdr:rowOff>
    </xdr:from>
    <xdr:to>
      <xdr:col>15</xdr:col>
      <xdr:colOff>139065</xdr:colOff>
      <xdr:row>46</xdr:row>
      <xdr:rowOff>30480</xdr:rowOff>
    </xdr:to>
    <xdr:graphicFrame>
      <xdr:nvGraphicFramePr>
        <xdr:cNvPr id="3" name="Wykres 2"/>
        <xdr:cNvGraphicFramePr/>
      </xdr:nvGraphicFramePr>
      <xdr:xfrm>
        <a:off x="1228725" y="1851025"/>
        <a:ext cx="11435715" cy="732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T27" sqref="T27"/>
    </sheetView>
  </sheetViews>
  <sheetFormatPr defaultColWidth="9.14285714285714" defaultRowHeight="15" outlineLevelRow="5"/>
  <cols>
    <col min="1" max="1" width="8" customWidth="1"/>
    <col min="2" max="2" width="12.5714285714286" customWidth="1"/>
    <col min="3" max="3" width="13.4285714285714" customWidth="1"/>
    <col min="4" max="4" width="13.7142857142857" customWidth="1"/>
    <col min="5" max="5" width="10.1428571428571" customWidth="1"/>
    <col min="6" max="6" width="11.4285714285714" customWidth="1"/>
    <col min="7" max="7" width="16.8571428571429" customWidth="1"/>
    <col min="8" max="8" width="17.2857142857143" customWidth="1"/>
    <col min="9" max="9" width="13.7142857142857" customWidth="1"/>
    <col min="10" max="10" width="19" customWidth="1"/>
    <col min="11" max="11" width="15.1428571428571" customWidth="1"/>
  </cols>
  <sheetData>
    <row r="1" s="1" customFormat="1" ht="4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30</v>
      </c>
      <c r="B2" s="2">
        <v>5381.41212871287</v>
      </c>
      <c r="C2" s="2">
        <v>39.1612912949713</v>
      </c>
      <c r="D2" s="2">
        <v>50.922895755079</v>
      </c>
      <c r="E2">
        <v>5215.58</v>
      </c>
      <c r="F2">
        <v>5466.47</v>
      </c>
      <c r="G2">
        <v>2.08</v>
      </c>
      <c r="H2" s="2">
        <f xml:space="preserve">B2*G2</f>
        <v>11193.3372277228</v>
      </c>
      <c r="I2" s="3">
        <v>11075</v>
      </c>
      <c r="J2" s="2">
        <f xml:space="preserve">H2-I2</f>
        <v>118.337227722763</v>
      </c>
      <c r="K2" s="2">
        <f xml:space="preserve">I2/B2</f>
        <v>2.05801000464332</v>
      </c>
    </row>
    <row r="3" spans="1:11">
      <c r="A3">
        <v>24</v>
      </c>
      <c r="B3" s="2">
        <v>4257.91768339768</v>
      </c>
      <c r="C3" s="2">
        <v>31.6338444567023</v>
      </c>
      <c r="D3" s="2">
        <v>43.8740813729242</v>
      </c>
      <c r="E3">
        <v>4023.61</v>
      </c>
      <c r="F3">
        <v>4340.28</v>
      </c>
      <c r="G3">
        <v>2.08</v>
      </c>
      <c r="H3" s="2">
        <f xml:space="preserve">B3*G3</f>
        <v>8856.46878146717</v>
      </c>
      <c r="I3" s="3">
        <v>8724</v>
      </c>
      <c r="J3" s="2">
        <f xml:space="preserve">H3-I3</f>
        <v>132.468781467171</v>
      </c>
      <c r="K3" s="2">
        <f xml:space="preserve">I3/B3</f>
        <v>2.04888883456256</v>
      </c>
    </row>
    <row r="4" spans="1:11">
      <c r="A4">
        <v>18</v>
      </c>
      <c r="B4" s="2">
        <v>3227.17860349127</v>
      </c>
      <c r="C4" s="2">
        <v>22.0433810735008</v>
      </c>
      <c r="D4" s="2">
        <v>26.2238473158476</v>
      </c>
      <c r="E4">
        <v>3151.26</v>
      </c>
      <c r="F4">
        <v>3280.84</v>
      </c>
      <c r="G4">
        <v>2.08</v>
      </c>
      <c r="H4" s="2">
        <f xml:space="preserve">B4*G4</f>
        <v>6712.53149526184</v>
      </c>
      <c r="I4" s="3">
        <v>6567.5</v>
      </c>
      <c r="J4" s="2">
        <f xml:space="preserve">H4-I4</f>
        <v>145.031495261842</v>
      </c>
      <c r="K4" s="2">
        <f xml:space="preserve">I4/B4</f>
        <v>2.03505935274083</v>
      </c>
    </row>
    <row r="5" spans="1:11">
      <c r="A5">
        <v>12</v>
      </c>
      <c r="B5" s="2">
        <v>2126.44341523342</v>
      </c>
      <c r="C5" s="2">
        <v>22.4479109442255</v>
      </c>
      <c r="D5" s="2">
        <v>25.0439563593717</v>
      </c>
      <c r="E5">
        <v>2077.56</v>
      </c>
      <c r="F5">
        <v>2172.65</v>
      </c>
      <c r="G5">
        <v>2.08</v>
      </c>
      <c r="H5" s="2">
        <f xml:space="preserve">B5*G5</f>
        <v>4423.00230368551</v>
      </c>
      <c r="I5">
        <v>4284.4</v>
      </c>
      <c r="J5" s="2">
        <f xml:space="preserve">H5-I5</f>
        <v>138.602303685508</v>
      </c>
      <c r="K5" s="2">
        <f xml:space="preserve">I5/B5</f>
        <v>2.01481966052208</v>
      </c>
    </row>
    <row r="6" spans="1:11">
      <c r="K6" s="2">
        <f xml:space="preserve">AVERAGE(K2:K5)</f>
        <v>2.0391944631172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2026-10-12T17:18:00Z</dcterms:created>
  <dcterms:modified xsi:type="dcterms:W3CDTF">2026-10-20T21:40:46Z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FDF2608FCE8F4F718521B1263BACD5D3_11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